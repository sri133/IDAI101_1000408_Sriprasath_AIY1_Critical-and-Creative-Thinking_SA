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haviour Log" sheetId="1" state="visible" r:id="rId3"/>
    <sheet name="Adaptation" sheetId="2" state="visible" r:id="rId4"/>
    <sheet name="7-Day Insight" sheetId="3" state="visible" r:id="rId5"/>
    <sheet name="Rules" sheetId="4" state="visible" r:id="rId6"/>
    <sheet name="Setting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<sst xmlns="http://schemas.openxmlformats.org/spreadsheetml/2006/main" count="166" uniqueCount="147">
  <si>
    <t xml:space="preserve">5-day behaviour log (simulated) and today's plan</t>
  </si>
  <si>
    <t xml:space="preserve">Sample data created for this simulation, not real user data. Days 1-5 (Sat-Wed) are the learning window; Day 6 (Thu, today) uses what the planner learned. Blue on cream = input; black = formula.</t>
  </si>
  <si>
    <t xml:space="preserve">Day</t>
  </si>
  <si>
    <t xml:space="preserve">Weekday</t>
  </si>
  <si>
    <t xml:space="preserve">Mood (1-5)</t>
  </si>
  <si>
    <t xml:space="preserve">Screen time total (h)</t>
  </si>
  <si>
    <t xml:space="preserve">Late-night screen 10 pm-12 am (h)</t>
  </si>
  <si>
    <t xml:space="preserve">Late-night use started</t>
  </si>
  <si>
    <t xml:space="preserve">Low-mood days in a row</t>
  </si>
  <si>
    <t xml:space="preserve">Over daily goal?</t>
  </si>
  <si>
    <t xml:space="preserve">Rule fired</t>
  </si>
  <si>
    <t xml:space="preserve">Suggestion shown</t>
  </si>
  <si>
    <t xml:space="preserve">Time suggested</t>
  </si>
  <si>
    <t xml:space="preserve">User response</t>
  </si>
  <si>
    <t xml:space="preserve">Accepted time (helper)</t>
  </si>
  <si>
    <t xml:space="preserve">Late-night use per hour (h)</t>
  </si>
  <si>
    <t xml:space="preserve">Other waking use per hour (h)</t>
  </si>
  <si>
    <t xml:space="preserve">Late-night intensity vs rest (x)</t>
  </si>
  <si>
    <t xml:space="preserve">Sat</t>
  </si>
  <si>
    <t xml:space="preserve">Not now</t>
  </si>
  <si>
    <t xml:space="preserve">Sun</t>
  </si>
  <si>
    <t xml:space="preserve">Snoozed</t>
  </si>
  <si>
    <t xml:space="preserve">Mon</t>
  </si>
  <si>
    <t xml:space="preserve">Accepted</t>
  </si>
  <si>
    <t xml:space="preserve">Tue</t>
  </si>
  <si>
    <t xml:space="preserve">Wed</t>
  </si>
  <si>
    <t xml:space="preserve">Thu (today)</t>
  </si>
  <si>
    <t xml:space="preserve">Pending</t>
  </si>
  <si>
    <t xml:space="preserve">Notes and assumptions:</t>
  </si>
  <si>
    <t xml:space="preserve">1. Days 1-5: the planner tries different evening times (9:00, 8:00, 7:30, 7:00, 7:30 pm) before settling on the time where suggestions were accepted.</t>
  </si>
  <si>
    <t xml:space="preserve">2. Day 6 (today): mood 2 and screen time 2 h 40 m, so rule R1 fires and the suggestion uses the adapted time from the Adaptation sheet.</t>
  </si>
  <si>
    <t xml:space="preserve">3. 'Pending' on Day 6 means the user has not responded yet. Late-night columns for Day 6 are empty because the evening has not finished.</t>
  </si>
  <si>
    <t xml:space="preserve">4. Rule codes and suggestions come from the Rules sheet. Thresholds come from the Settings sheet.</t>
  </si>
  <si>
    <t xml:space="preserve">Behaviour-based learning after 5 days</t>
  </si>
  <si>
    <t xml:space="preserve">All values are formulas that read the Behaviour Log and Settings sheets. Change an input and they update.</t>
  </si>
  <si>
    <t xml:space="preserve">Measure</t>
  </si>
  <si>
    <t xml:space="preserve">Value</t>
  </si>
  <si>
    <t xml:space="preserve">How it is calculated</t>
  </si>
  <si>
    <t xml:space="preserve">Days of logs used</t>
  </si>
  <si>
    <t xml:space="preserve">Number of logged days (5 are needed before adapting).</t>
  </si>
  <si>
    <t xml:space="preserve">Average mood (1-5)</t>
  </si>
  <si>
    <t xml:space="preserve">Mean of the 5 mood scores.</t>
  </si>
  <si>
    <t xml:space="preserve">Average screen time (h/day)</t>
  </si>
  <si>
    <t xml:space="preserve">Mean of the 5 daily totals.</t>
  </si>
  <si>
    <t xml:space="preserve">Days over daily goal</t>
  </si>
  <si>
    <t xml:space="preserve">Days with screen time above the goal.</t>
  </si>
  <si>
    <t xml:space="preserve">Average mood, days over goal</t>
  </si>
  <si>
    <t xml:space="preserve">Mood on days above the goal.</t>
  </si>
  <si>
    <t xml:space="preserve">Average mood, days within goal</t>
  </si>
  <si>
    <t xml:space="preserve">Mood on days within the goal.</t>
  </si>
  <si>
    <t xml:space="preserve">Late-night use vs rest of day (x, average)</t>
  </si>
  <si>
    <t xml:space="preserve">Hourly use after 10 pm divided by hourly use the rest of the day.</t>
  </si>
  <si>
    <t xml:space="preserve">Typical late-night start</t>
  </si>
  <si>
    <t xml:space="preserve">Median time late-night use began.</t>
  </si>
  <si>
    <t xml:space="preserve">Suggestions accepted</t>
  </si>
  <si>
    <t xml:space="preserve">Count of 'Accepted'.</t>
  </si>
  <si>
    <t xml:space="preserve">Acceptance rate</t>
  </si>
  <si>
    <t xml:space="preserve">Accepted divided by days of logs.</t>
  </si>
  <si>
    <t xml:space="preserve">'Not now' responses</t>
  </si>
  <si>
    <t xml:space="preserve">Count of 'Not now'.</t>
  </si>
  <si>
    <t xml:space="preserve">Longest low-mood run (days)</t>
  </si>
  <si>
    <t xml:space="preserve">Longest run of consecutive low-mood days.</t>
  </si>
  <si>
    <t xml:space="preserve">Adapted settings (what the prototype shows)</t>
  </si>
  <si>
    <t xml:space="preserve">Setting</t>
  </si>
  <si>
    <t xml:space="preserve">Before (default)</t>
  </si>
  <si>
    <t xml:space="preserve">After (adapted)</t>
  </si>
  <si>
    <t xml:space="preserve">Rule</t>
  </si>
  <si>
    <t xml:space="preserve">Wind-down time</t>
  </si>
  <si>
    <t xml:space="preserve">Usual late-night start minus the lead time (60 min).</t>
  </si>
  <si>
    <t xml:space="preserve">Break suggestion time</t>
  </si>
  <si>
    <t xml:space="preserve">Median time suggestions were accepted.</t>
  </si>
  <si>
    <t xml:space="preserve">Nudge frequency</t>
  </si>
  <si>
    <t xml:space="preserve">Reduce to Low if 3 or more 'Not now' in 5 days.</t>
  </si>
  <si>
    <t xml:space="preserve">Support Prompt (R0)</t>
  </si>
  <si>
    <t xml:space="preserve">Off</t>
  </si>
  <si>
    <t xml:space="preserve">Show only after 3 low-mood days in a row.</t>
  </si>
  <si>
    <t xml:space="preserve">Result shown in the prototype: wind-down moves from 10:30 pm to 9:30 pm, and today's break is suggested at 7:30 pm. Small sample (5 days), so this simulates the idea; a real system would need more data and user consent.</t>
  </si>
  <si>
    <t xml:space="preserve">7-day screen time and mood (backs the insight card on the Screen Time screen)</t>
  </si>
  <si>
    <t xml:space="preserve">Fri and Thu values are inputs; Sat-Wed link to the Behaviour Log. Sample data.</t>
  </si>
  <si>
    <t xml:space="preserve">Screen time (h)</t>
  </si>
  <si>
    <t xml:space="preserve">Fri</t>
  </si>
  <si>
    <t xml:space="preserve">Insight text for the card</t>
  </si>
  <si>
    <t xml:space="preserve">MindPatch AI planner - rule table (evaluated in order R0, R1, R2, R3, R5, R6; R4 runs on the clock)</t>
  </si>
  <si>
    <t xml:space="preserve">Code</t>
  </si>
  <si>
    <t xml:space="preserve">Condition</t>
  </si>
  <si>
    <t xml:space="preserve">Suggestion</t>
  </si>
  <si>
    <t xml:space="preserve">Duration (min)</t>
  </si>
  <si>
    <t xml:space="preserve">Why (research link)</t>
  </si>
  <si>
    <t xml:space="preserve">R0</t>
  </si>
  <si>
    <t xml:space="preserve">Mood below 3 for 3 days in a row</t>
  </si>
  <si>
    <t xml:space="preserve">Support Prompt: talk to someone you trust</t>
  </si>
  <si>
    <t xml:space="preserve">Ethical safeguard. MindPatch is a wellbeing helper, not a medical service.</t>
  </si>
  <si>
    <t xml:space="preserve">R1</t>
  </si>
  <si>
    <t xml:space="preserve">Mood &lt; 3 AND screen time &gt; 2 h</t>
  </si>
  <si>
    <t xml:space="preserve">20-min tech-free break (e.g. a walk)</t>
  </si>
  <si>
    <t xml:space="preserve">Brief's example rule. Evening and high screen use linked to mental-health symptoms (Alkaabba et al., 2025).</t>
  </si>
  <si>
    <t xml:space="preserve">R2</t>
  </si>
  <si>
    <t xml:space="preserve">Mood &lt; 3 AND screen time &lt;= 2 h</t>
  </si>
  <si>
    <t xml:space="preserve">5-min breathing break or message a friend</t>
  </si>
  <si>
    <t xml:space="preserve">Low-demand option when screen time is not the issue. Social support helps (Jacob et al., 2022).</t>
  </si>
  <si>
    <t xml:space="preserve">R3</t>
  </si>
  <si>
    <t xml:space="preserve">Mood &gt;= 3 AND screen time &gt; daily goal</t>
  </si>
  <si>
    <t xml:space="preserve">10-min screen-free pause</t>
  </si>
  <si>
    <t xml:space="preserve">Keeps the user to their own goal. Self-awareness first (Kaewpradit et al., 2025).</t>
  </si>
  <si>
    <t xml:space="preserve">R4</t>
  </si>
  <si>
    <t xml:space="preserve">Clock reaches wind-down time (default 10:30 pm, adapted from logs)</t>
  </si>
  <si>
    <t xml:space="preserve">Wind-down reminder: quiet mode and bedtime reminder</t>
  </si>
  <si>
    <t xml:space="preserve">Late-night use predicted sleep problems (Rajput et al., 2026).</t>
  </si>
  <si>
    <t xml:space="preserve">R5</t>
  </si>
  <si>
    <t xml:space="preserve">Mood &gt;= 4 AND screen time &lt;= daily goal</t>
  </si>
  <si>
    <t xml:space="preserve">Positive reinforcement and a 1-line gratitude prompt</t>
  </si>
  <si>
    <t xml:space="preserve">Positive reinforcement and habit-loop reward (Duhigg, 2012).</t>
  </si>
  <si>
    <t xml:space="preserve">R6</t>
  </si>
  <si>
    <t xml:space="preserve">None of the above</t>
  </si>
  <si>
    <t xml:space="preserve">Show today's wellness tip</t>
  </si>
  <si>
    <t xml:space="preserve">Default, low-pressure option.</t>
  </si>
  <si>
    <t xml:space="preserve">Source for R1 condition: the SA brief (Stage 4 example rule). Other rules are design decisions for this prototype.</t>
  </si>
  <si>
    <t xml:space="preserve">MindPatch AI Planner - Settings and assumptions</t>
  </si>
  <si>
    <t xml:space="preserve">Legend: blue text on cream = input you can edit. Black = formula. All numbers are design assumptions unless a source is named.</t>
  </si>
  <si>
    <t xml:space="preserve">Source / assumption</t>
  </si>
  <si>
    <t xml:space="preserve">Low mood threshold (mood below this is 'low')</t>
  </si>
  <si>
    <t xml:space="preserve">Brief's example rule: 'If mood &lt; 3 &amp; screen time &gt; 2 hrs'.</t>
  </si>
  <si>
    <t xml:space="preserve">High screen-time threshold (hours)</t>
  </si>
  <si>
    <t xml:space="preserve">Brief's example rule: 'screen time &gt; 2 hrs'.</t>
  </si>
  <si>
    <t xml:space="preserve">Daily screen-time goal (hours)</t>
  </si>
  <si>
    <t xml:space="preserve">Design assumption: 2 h 30 m, as shown in the prototype.</t>
  </si>
  <si>
    <t xml:space="preserve">Low-mood days in a row before Support Prompt</t>
  </si>
  <si>
    <t xml:space="preserve">Design assumption (ethical safeguard, not a diagnosis).</t>
  </si>
  <si>
    <t xml:space="preserve">Wind-down lead time (minutes before usual late-night start)</t>
  </si>
  <si>
    <t xml:space="preserve">Design assumption.</t>
  </si>
  <si>
    <t xml:space="preserve">Default wind-down time</t>
  </si>
  <si>
    <t xml:space="preserve">Design assumption, matches the 'Phone away at 10:30 pm' habit.</t>
  </si>
  <si>
    <t xml:space="preserve">Default break suggestion time</t>
  </si>
  <si>
    <t xml:space="preserve">Design assumption before the planner has learned anything.</t>
  </si>
  <si>
    <t xml:space="preserve">'Not now' responses in 5 days that reduce nudge frequency</t>
  </si>
  <si>
    <t xml:space="preserve">Nudge frequency setting</t>
  </si>
  <si>
    <t xml:space="preserve">Medium</t>
  </si>
  <si>
    <t xml:space="preserve">Matches Settings and Privacy (Low / Medium / High).</t>
  </si>
  <si>
    <t xml:space="preserve">Max nudges per day: Low</t>
  </si>
  <si>
    <t xml:space="preserve">Max nudges per day: Medium</t>
  </si>
  <si>
    <t xml:space="preserve">Max nudges per day: High</t>
  </si>
  <si>
    <t xml:space="preserve">Max nudges per day (current setting)</t>
  </si>
  <si>
    <t xml:space="preserve">Formula: picks the cap for the chosen frequency.</t>
  </si>
  <si>
    <t xml:space="preserve">Late-night window length (hours, 10 pm to 12 am)</t>
  </si>
  <si>
    <t xml:space="preserve">Assumption: late-night window is 22:00-24:00.</t>
  </si>
  <si>
    <t xml:space="preserve">Other waking hours outside the late-night window</t>
  </si>
  <si>
    <t xml:space="preserve">Assumption: waking day 7 am to 10 pm.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</si>
</sst>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h:mm\ AM/PM"/>
    <numFmt numFmtId="167" formatCode="0.00"/>
    <numFmt numFmtId="168" formatCode="0"/>
    <numFmt numFmtId="169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4233A"/>
      <name val="Arial"/>
      <family val="0"/>
      <charset val="1"/>
    </font>
    <font>
      <i val="true"/>
      <sz val="9"/>
      <color rgb="FF5B5B6E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F8"/>
        <bgColor rgb="FFFFF2D6"/>
      </patternFill>
    </fill>
    <fill>
      <patternFill patternType="solid">
        <fgColor rgb="FFFFF2D6"/>
        <bgColor rgb="FFE6E0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CDA"/>
      </left>
      <right style="thin">
        <color rgb="FFC9CCDA"/>
      </right>
      <top style="thin">
        <color rgb="FFC9CCDA"/>
      </top>
      <bottom style="thin">
        <color rgb="FFC9CC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E0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D6"/>
      <rgbColor rgb="FFCCFFFF"/>
      <rgbColor rgb="FF660066"/>
      <rgbColor rgb="FFFF8080"/>
      <rgbColor rgb="FF0066CC"/>
      <rgbColor rgb="FFC9CC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B6E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3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44"/>
    <col collapsed="false" customWidth="true" hidden="false" outlineLevel="0" max="12" min="11" style="0" width="12"/>
    <col collapsed="false" customWidth="true" hidden="false" outlineLevel="0" max="16" min="13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5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15" hidden="false" customHeight="false" outlineLevel="0" collapsed="false">
      <c r="A5" s="4" t="n">
        <v>1</v>
      </c>
      <c r="B5" s="4" t="s">
        <v>18</v>
      </c>
      <c r="C5" s="5" t="n">
        <v>2</v>
      </c>
      <c r="D5" s="6" t="n">
        <v>3.8</v>
      </c>
      <c r="E5" s="6" t="n">
        <v>1.4</v>
      </c>
      <c r="F5" s="7" t="n">
        <v>0.9375</v>
      </c>
      <c r="G5" s="4" t="n">
        <f aca="false">IF(C5&lt;Settings!$B$4,1,0)</f>
        <v>1</v>
      </c>
      <c r="H5" s="4" t="str">
        <f aca="false">IF(D5&gt;Settings!$B$6,"Yes","No")</f>
        <v>Yes</v>
      </c>
      <c r="I5" s="4" t="str">
        <f aca="false">IF(G5&gt;=Settings!$B$7,"R0",IF(AND(C5&lt;Settings!$B$4,D5&gt;Settings!$B$5),"R1",IF(C5&lt;Settings!$B$4,"R2",IF(D5&gt;Settings!$B$6,"R3",IF(C5&gt;=4,"R5","R6")))))</f>
        <v>R1</v>
      </c>
      <c r="J5" s="4" t="str">
        <f aca="false">INDEX(Rules!$C$4:$C$10,MATCH(I5,Rules!$A$4:$A$10,0))</f>
        <v>20-min tech-free break (e.g. a walk)</v>
      </c>
      <c r="K5" s="7" t="n">
        <v>0.875</v>
      </c>
      <c r="L5" s="5" t="s">
        <v>19</v>
      </c>
      <c r="M5" s="8" t="str">
        <f aca="false">IF(L5="Accepted",K5,"")</f>
        <v/>
      </c>
      <c r="N5" s="9" t="n">
        <f aca="false">IF(E5="","",E5/Settings!$B$17)</f>
        <v>0.7</v>
      </c>
      <c r="O5" s="9" t="n">
        <f aca="false">IF(E5="","",(D5-E5)/Settings!$B$18)</f>
        <v>0.16</v>
      </c>
      <c r="P5" s="10" t="n">
        <f aca="false">IF(E5="","",N5/O5)</f>
        <v>4.375</v>
      </c>
    </row>
    <row r="6" customFormat="false" ht="15" hidden="false" customHeight="false" outlineLevel="0" collapsed="false">
      <c r="A6" s="4" t="n">
        <v>2</v>
      </c>
      <c r="B6" s="4" t="s">
        <v>20</v>
      </c>
      <c r="C6" s="5" t="n">
        <v>2</v>
      </c>
      <c r="D6" s="6" t="n">
        <v>4.1</v>
      </c>
      <c r="E6" s="6" t="n">
        <v>1.7</v>
      </c>
      <c r="F6" s="7" t="n">
        <v>0.927083333333333</v>
      </c>
      <c r="G6" s="4" t="n">
        <f aca="false">IF(C6&lt;Settings!$B$4,G5+1,0)</f>
        <v>2</v>
      </c>
      <c r="H6" s="4" t="str">
        <f aca="false">IF(D6&gt;Settings!$B$6,"Yes","No")</f>
        <v>Yes</v>
      </c>
      <c r="I6" s="4" t="str">
        <f aca="false">IF(G6&gt;=Settings!$B$7,"R0",IF(AND(C6&lt;Settings!$B$4,D6&gt;Settings!$B$5),"R1",IF(C6&lt;Settings!$B$4,"R2",IF(D6&gt;Settings!$B$6,"R3",IF(C6&gt;=4,"R5","R6")))))</f>
        <v>R1</v>
      </c>
      <c r="J6" s="4" t="str">
        <f aca="false">INDEX(Rules!$C$4:$C$10,MATCH(I6,Rules!$A$4:$A$10,0))</f>
        <v>20-min tech-free break (e.g. a walk)</v>
      </c>
      <c r="K6" s="7" t="n">
        <v>0.833333333333333</v>
      </c>
      <c r="L6" s="5" t="s">
        <v>21</v>
      </c>
      <c r="M6" s="8" t="str">
        <f aca="false">IF(L6="Accepted",K6,"")</f>
        <v/>
      </c>
      <c r="N6" s="9" t="n">
        <f aca="false">IF(E6="","",E6/Settings!$B$17)</f>
        <v>0.85</v>
      </c>
      <c r="O6" s="9" t="n">
        <f aca="false">IF(E6="","",(D6-E6)/Settings!$B$18)</f>
        <v>0.16</v>
      </c>
      <c r="P6" s="10" t="n">
        <f aca="false">IF(E6="","",N6/O6)</f>
        <v>5.3125</v>
      </c>
    </row>
    <row r="7" customFormat="false" ht="15" hidden="false" customHeight="false" outlineLevel="0" collapsed="false">
      <c r="A7" s="4" t="n">
        <v>3</v>
      </c>
      <c r="B7" s="4" t="s">
        <v>22</v>
      </c>
      <c r="C7" s="5" t="n">
        <v>3</v>
      </c>
      <c r="D7" s="6" t="n">
        <v>2.9</v>
      </c>
      <c r="E7" s="6" t="n">
        <v>0.9</v>
      </c>
      <c r="F7" s="7" t="n">
        <v>0.947916666666667</v>
      </c>
      <c r="G7" s="4" t="n">
        <f aca="false">IF(C7&lt;Settings!$B$4,G6+1,0)</f>
        <v>0</v>
      </c>
      <c r="H7" s="4" t="str">
        <f aca="false">IF(D7&gt;Settings!$B$6,"Yes","No")</f>
        <v>Yes</v>
      </c>
      <c r="I7" s="4" t="str">
        <f aca="false">IF(G7&gt;=Settings!$B$7,"R0",IF(AND(C7&lt;Settings!$B$4,D7&gt;Settings!$B$5),"R1",IF(C7&lt;Settings!$B$4,"R2",IF(D7&gt;Settings!$B$6,"R3",IF(C7&gt;=4,"R5","R6")))))</f>
        <v>R3</v>
      </c>
      <c r="J7" s="4" t="str">
        <f aca="false">INDEX(Rules!$C$4:$C$10,MATCH(I7,Rules!$A$4:$A$10,0))</f>
        <v>10-min screen-free pause</v>
      </c>
      <c r="K7" s="7" t="n">
        <v>0.8125</v>
      </c>
      <c r="L7" s="5" t="s">
        <v>23</v>
      </c>
      <c r="M7" s="8" t="n">
        <f aca="false">IF(L7="Accepted",K7,"")</f>
        <v>0.8125</v>
      </c>
      <c r="N7" s="9" t="n">
        <f aca="false">IF(E7="","",E7/Settings!$B$17)</f>
        <v>0.45</v>
      </c>
      <c r="O7" s="9" t="n">
        <f aca="false">IF(E7="","",(D7-E7)/Settings!$B$18)</f>
        <v>0.133333333333333</v>
      </c>
      <c r="P7" s="10" t="n">
        <f aca="false">IF(E7="","",N7/O7)</f>
        <v>3.375</v>
      </c>
    </row>
    <row r="8" customFormat="false" ht="15" hidden="false" customHeight="false" outlineLevel="0" collapsed="false">
      <c r="A8" s="4" t="n">
        <v>4</v>
      </c>
      <c r="B8" s="4" t="s">
        <v>24</v>
      </c>
      <c r="C8" s="5" t="n">
        <v>2</v>
      </c>
      <c r="D8" s="6" t="n">
        <v>3.4</v>
      </c>
      <c r="E8" s="6" t="n">
        <v>1.5</v>
      </c>
      <c r="F8" s="7" t="n">
        <v>0.9375</v>
      </c>
      <c r="G8" s="4" t="n">
        <f aca="false">IF(C8&lt;Settings!$B$4,G7+1,0)</f>
        <v>1</v>
      </c>
      <c r="H8" s="4" t="str">
        <f aca="false">IF(D8&gt;Settings!$B$6,"Yes","No")</f>
        <v>Yes</v>
      </c>
      <c r="I8" s="4" t="str">
        <f aca="false">IF(G8&gt;=Settings!$B$7,"R0",IF(AND(C8&lt;Settings!$B$4,D8&gt;Settings!$B$5),"R1",IF(C8&lt;Settings!$B$4,"R2",IF(D8&gt;Settings!$B$6,"R3",IF(C8&gt;=4,"R5","R6")))))</f>
        <v>R1</v>
      </c>
      <c r="J8" s="4" t="str">
        <f aca="false">INDEX(Rules!$C$4:$C$10,MATCH(I8,Rules!$A$4:$A$10,0))</f>
        <v>20-min tech-free break (e.g. a walk)</v>
      </c>
      <c r="K8" s="7" t="n">
        <v>0.791666666666667</v>
      </c>
      <c r="L8" s="5" t="s">
        <v>19</v>
      </c>
      <c r="M8" s="8" t="str">
        <f aca="false">IF(L8="Accepted",K8,"")</f>
        <v/>
      </c>
      <c r="N8" s="9" t="n">
        <f aca="false">IF(E8="","",E8/Settings!$B$17)</f>
        <v>0.75</v>
      </c>
      <c r="O8" s="9" t="n">
        <f aca="false">IF(E8="","",(D8-E8)/Settings!$B$18)</f>
        <v>0.126666666666667</v>
      </c>
      <c r="P8" s="10" t="n">
        <f aca="false">IF(E8="","",N8/O8)</f>
        <v>5.92105263157895</v>
      </c>
    </row>
    <row r="9" customFormat="false" ht="15" hidden="false" customHeight="false" outlineLevel="0" collapsed="false">
      <c r="A9" s="4" t="n">
        <v>5</v>
      </c>
      <c r="B9" s="4" t="s">
        <v>25</v>
      </c>
      <c r="C9" s="5" t="n">
        <v>4</v>
      </c>
      <c r="D9" s="6" t="n">
        <v>2.5</v>
      </c>
      <c r="E9" s="6" t="n">
        <v>0.6</v>
      </c>
      <c r="F9" s="7" t="n">
        <v>0.9375</v>
      </c>
      <c r="G9" s="4" t="n">
        <f aca="false">IF(C9&lt;Settings!$B$4,G8+1,0)</f>
        <v>0</v>
      </c>
      <c r="H9" s="4" t="str">
        <f aca="false">IF(D9&gt;Settings!$B$6,"Yes","No")</f>
        <v>No</v>
      </c>
      <c r="I9" s="4" t="str">
        <f aca="false">IF(G9&gt;=Settings!$B$7,"R0",IF(AND(C9&lt;Settings!$B$4,D9&gt;Settings!$B$5),"R1",IF(C9&lt;Settings!$B$4,"R2",IF(D9&gt;Settings!$B$6,"R3",IF(C9&gt;=4,"R5","R6")))))</f>
        <v>R5</v>
      </c>
      <c r="J9" s="4" t="str">
        <f aca="false">INDEX(Rules!$C$4:$C$10,MATCH(I9,Rules!$A$4:$A$10,0))</f>
        <v>Positive reinforcement and a 1-line gratitude prompt</v>
      </c>
      <c r="K9" s="7" t="n">
        <v>0.8125</v>
      </c>
      <c r="L9" s="5" t="s">
        <v>23</v>
      </c>
      <c r="M9" s="8" t="n">
        <f aca="false">IF(L9="Accepted",K9,"")</f>
        <v>0.8125</v>
      </c>
      <c r="N9" s="9" t="n">
        <f aca="false">IF(E9="","",E9/Settings!$B$17)</f>
        <v>0.3</v>
      </c>
      <c r="O9" s="9" t="n">
        <f aca="false">IF(E9="","",(D9-E9)/Settings!$B$18)</f>
        <v>0.126666666666667</v>
      </c>
      <c r="P9" s="10" t="n">
        <f aca="false">IF(E9="","",N9/O9)</f>
        <v>2.36842105263158</v>
      </c>
    </row>
    <row r="10" customFormat="false" ht="15" hidden="false" customHeight="false" outlineLevel="0" collapsed="false">
      <c r="A10" s="4" t="n">
        <v>6</v>
      </c>
      <c r="B10" s="4" t="s">
        <v>26</v>
      </c>
      <c r="C10" s="5" t="n">
        <v>2</v>
      </c>
      <c r="D10" s="11" t="n">
        <f aca="false">2+40/60</f>
        <v>2.66666666666667</v>
      </c>
      <c r="E10" s="6"/>
      <c r="F10" s="7"/>
      <c r="G10" s="4" t="n">
        <f aca="false">IF(C10&lt;Settings!$B$4,G9+1,0)</f>
        <v>1</v>
      </c>
      <c r="H10" s="4" t="str">
        <f aca="false">IF(D10&gt;Settings!$B$6,"Yes","No")</f>
        <v>Yes</v>
      </c>
      <c r="I10" s="4" t="str">
        <f aca="false">IF(G10&gt;=Settings!$B$7,"R0",IF(AND(C10&lt;Settings!$B$4,D10&gt;Settings!$B$5),"R1",IF(C10&lt;Settings!$B$4,"R2",IF(D10&gt;Settings!$B$6,"R3",IF(C10&gt;=4,"R5","R6")))))</f>
        <v>R1</v>
      </c>
      <c r="J10" s="4" t="str">
        <f aca="false">INDEX(Rules!$C$4:$C$10,MATCH(I10,Rules!$A$4:$A$10,0))</f>
        <v>20-min tech-free break (e.g. a walk)</v>
      </c>
      <c r="K10" s="8" t="n">
        <f aca="false">Adaptation!C20</f>
        <v>0.8125</v>
      </c>
      <c r="L10" s="5" t="s">
        <v>27</v>
      </c>
      <c r="M10" s="8" t="str">
        <f aca="false">IF(L10="Accepted",K10,"")</f>
        <v/>
      </c>
      <c r="N10" s="9" t="str">
        <f aca="false">IF(E10="","",E10/Settings!$B$17)</f>
        <v/>
      </c>
      <c r="O10" s="9" t="str">
        <f aca="false">IF(E10="","",(D10-E10)/Settings!$B$18)</f>
        <v/>
      </c>
      <c r="P10" s="10" t="str">
        <f aca="false">IF(E10="","",N10/O10)</f>
        <v/>
      </c>
    </row>
    <row r="12" customFormat="false" ht="15" hidden="false" customHeight="false" outlineLevel="0" collapsed="false">
      <c r="A12" s="12" t="s">
        <v>28</v>
      </c>
    </row>
    <row r="13" customFormat="false" ht="15" hidden="false" customHeight="false" outlineLevel="0" collapsed="false">
      <c r="A13" s="2" t="s">
        <v>29</v>
      </c>
    </row>
    <row r="14" customFormat="false" ht="15" hidden="false" customHeight="false" outlineLevel="0" collapsed="false">
      <c r="A14" s="2" t="s">
        <v>30</v>
      </c>
    </row>
    <row r="15" customFormat="false" ht="15" hidden="false" customHeight="false" outlineLevel="0" collapsed="false">
      <c r="A15" s="2" t="s">
        <v>31</v>
      </c>
    </row>
    <row r="16" customFormat="false" ht="15" hidden="false" customHeight="false" outlineLevel="0" collapsed="false">
      <c r="A16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62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3" customFormat="false" ht="15" hidden="false" customHeight="false" outlineLevel="0" collapsed="false">
      <c r="A3" s="3" t="s">
        <v>35</v>
      </c>
      <c r="B3" s="3"/>
      <c r="C3" s="3" t="s">
        <v>36</v>
      </c>
      <c r="D3" s="3" t="s">
        <v>37</v>
      </c>
    </row>
    <row r="4" customFormat="false" ht="15" hidden="false" customHeight="false" outlineLevel="0" collapsed="false">
      <c r="A4" s="4" t="s">
        <v>38</v>
      </c>
      <c r="B4" s="4"/>
      <c r="C4" s="13" t="n">
        <f aca="false">COUNT('Behaviour Log'!C5:C9)</f>
        <v>5</v>
      </c>
      <c r="D4" s="14" t="s">
        <v>39</v>
      </c>
    </row>
    <row r="5" customFormat="false" ht="15" hidden="false" customHeight="false" outlineLevel="0" collapsed="false">
      <c r="A5" s="4" t="s">
        <v>40</v>
      </c>
      <c r="B5" s="4"/>
      <c r="C5" s="10" t="n">
        <f aca="false">AVERAGE('Behaviour Log'!C5:C9)</f>
        <v>2.6</v>
      </c>
      <c r="D5" s="14" t="s">
        <v>41</v>
      </c>
    </row>
    <row r="6" customFormat="false" ht="15" hidden="false" customHeight="false" outlineLevel="0" collapsed="false">
      <c r="A6" s="4" t="s">
        <v>42</v>
      </c>
      <c r="B6" s="4"/>
      <c r="C6" s="10" t="n">
        <f aca="false">AVERAGE('Behaviour Log'!D5:D9)</f>
        <v>3.34</v>
      </c>
      <c r="D6" s="14" t="s">
        <v>43</v>
      </c>
    </row>
    <row r="7" customFormat="false" ht="15" hidden="false" customHeight="false" outlineLevel="0" collapsed="false">
      <c r="A7" s="4" t="s">
        <v>44</v>
      </c>
      <c r="B7" s="4"/>
      <c r="C7" s="13" t="n">
        <f aca="false">COUNTIF('Behaviour Log'!D5:D9,"&gt;"&amp;Settings!B6)</f>
        <v>4</v>
      </c>
      <c r="D7" s="14" t="s">
        <v>45</v>
      </c>
    </row>
    <row r="8" customFormat="false" ht="15" hidden="false" customHeight="false" outlineLevel="0" collapsed="false">
      <c r="A8" s="4" t="s">
        <v>46</v>
      </c>
      <c r="B8" s="4"/>
      <c r="C8" s="10" t="n">
        <f aca="false">AVERAGEIF('Behaviour Log'!D5:D9,"&gt;"&amp;Settings!B6,'Behaviour Log'!C5:C9)</f>
        <v>2.25</v>
      </c>
      <c r="D8" s="14" t="s">
        <v>47</v>
      </c>
    </row>
    <row r="9" customFormat="false" ht="15" hidden="false" customHeight="false" outlineLevel="0" collapsed="false">
      <c r="A9" s="4" t="s">
        <v>48</v>
      </c>
      <c r="B9" s="4"/>
      <c r="C9" s="10" t="n">
        <f aca="false">AVERAGEIF('Behaviour Log'!D5:D9,"&lt;="&amp;Settings!B6,'Behaviour Log'!C5:C9)</f>
        <v>4</v>
      </c>
      <c r="D9" s="14" t="s">
        <v>49</v>
      </c>
    </row>
    <row r="10" customFormat="false" ht="15" hidden="false" customHeight="false" outlineLevel="0" collapsed="false">
      <c r="A10" s="4" t="s">
        <v>50</v>
      </c>
      <c r="B10" s="4"/>
      <c r="C10" s="10" t="n">
        <f aca="false">AVERAGE('Behaviour Log'!P5:P9)</f>
        <v>4.27039473684211</v>
      </c>
      <c r="D10" s="14" t="s">
        <v>51</v>
      </c>
    </row>
    <row r="11" customFormat="false" ht="15" hidden="false" customHeight="false" outlineLevel="0" collapsed="false">
      <c r="A11" s="4" t="s">
        <v>52</v>
      </c>
      <c r="B11" s="4"/>
      <c r="C11" s="8" t="n">
        <f aca="false">MEDIAN('Behaviour Log'!F5:F9)</f>
        <v>0.9375</v>
      </c>
      <c r="D11" s="14" t="s">
        <v>53</v>
      </c>
    </row>
    <row r="12" customFormat="false" ht="15" hidden="false" customHeight="false" outlineLevel="0" collapsed="false">
      <c r="A12" s="4" t="s">
        <v>54</v>
      </c>
      <c r="B12" s="4"/>
      <c r="C12" s="13" t="n">
        <f aca="false">COUNTIF('Behaviour Log'!L5:L9,"Accepted")</f>
        <v>2</v>
      </c>
      <c r="D12" s="14" t="s">
        <v>55</v>
      </c>
    </row>
    <row r="13" customFormat="false" ht="15" hidden="false" customHeight="false" outlineLevel="0" collapsed="false">
      <c r="A13" s="4" t="s">
        <v>56</v>
      </c>
      <c r="B13" s="4"/>
      <c r="C13" s="15" t="n">
        <f aca="false">C12/C4</f>
        <v>0.4</v>
      </c>
      <c r="D13" s="14" t="s">
        <v>57</v>
      </c>
    </row>
    <row r="14" customFormat="false" ht="15" hidden="false" customHeight="false" outlineLevel="0" collapsed="false">
      <c r="A14" s="4" t="s">
        <v>58</v>
      </c>
      <c r="B14" s="4"/>
      <c r="C14" s="13" t="n">
        <f aca="false">COUNTIF('Behaviour Log'!L5:L9,"Not now")</f>
        <v>2</v>
      </c>
      <c r="D14" s="14" t="s">
        <v>59</v>
      </c>
    </row>
    <row r="15" customFormat="false" ht="15" hidden="false" customHeight="false" outlineLevel="0" collapsed="false">
      <c r="A15" s="4" t="s">
        <v>60</v>
      </c>
      <c r="B15" s="4"/>
      <c r="C15" s="13" t="n">
        <f aca="false">MAX('Behaviour Log'!G5:G9)</f>
        <v>2</v>
      </c>
      <c r="D15" s="14" t="s">
        <v>61</v>
      </c>
    </row>
    <row r="17" customFormat="false" ht="15" hidden="false" customHeight="false" outlineLevel="0" collapsed="false">
      <c r="A17" s="12" t="s">
        <v>62</v>
      </c>
    </row>
    <row r="18" customFormat="false" ht="15" hidden="false" customHeight="false" outlineLevel="0" collapsed="false">
      <c r="A18" s="3" t="s">
        <v>63</v>
      </c>
      <c r="B18" s="3" t="s">
        <v>64</v>
      </c>
      <c r="C18" s="3" t="s">
        <v>65</v>
      </c>
      <c r="D18" s="3" t="s">
        <v>66</v>
      </c>
    </row>
    <row r="19" customFormat="false" ht="15" hidden="false" customHeight="false" outlineLevel="0" collapsed="false">
      <c r="A19" s="4" t="s">
        <v>67</v>
      </c>
      <c r="B19" s="8" t="n">
        <f aca="false">Settings!B9</f>
        <v>0.9375</v>
      </c>
      <c r="C19" s="8" t="n">
        <f aca="false">C11-Settings!B8/1440</f>
        <v>0.895833333333333</v>
      </c>
      <c r="D19" s="14" t="s">
        <v>68</v>
      </c>
    </row>
    <row r="20" customFormat="false" ht="15" hidden="false" customHeight="false" outlineLevel="0" collapsed="false">
      <c r="A20" s="4" t="s">
        <v>69</v>
      </c>
      <c r="B20" s="8" t="n">
        <f aca="false">Settings!B10</f>
        <v>0.833333333333333</v>
      </c>
      <c r="C20" s="8" t="n">
        <f aca="false">MEDIAN('Behaviour Log'!M5:M9)</f>
        <v>0.8125</v>
      </c>
      <c r="D20" s="14" t="s">
        <v>70</v>
      </c>
    </row>
    <row r="21" customFormat="false" ht="15" hidden="false" customHeight="false" outlineLevel="0" collapsed="false">
      <c r="A21" s="4" t="s">
        <v>71</v>
      </c>
      <c r="B21" s="4" t="str">
        <f aca="false">Settings!B12</f>
        <v>Medium</v>
      </c>
      <c r="C21" s="4" t="str">
        <f aca="false">IF(C14&gt;=Settings!B11,"Low",Settings!B12)</f>
        <v>Medium</v>
      </c>
      <c r="D21" s="14" t="s">
        <v>72</v>
      </c>
    </row>
    <row r="22" customFormat="false" ht="15" hidden="false" customHeight="false" outlineLevel="0" collapsed="false">
      <c r="A22" s="4" t="s">
        <v>73</v>
      </c>
      <c r="B22" s="4" t="s">
        <v>74</v>
      </c>
      <c r="C22" s="4" t="str">
        <f aca="false">IF(C15&gt;=Settings!B7,"Show Support Prompt","Not triggered (longest run "&amp;C15&amp;" days)")</f>
        <v>Not triggered (longest run 2 days)</v>
      </c>
      <c r="D22" s="14" t="s">
        <v>75</v>
      </c>
    </row>
    <row r="24" customFormat="false" ht="15" hidden="false" customHeight="false" outlineLevel="0" collapsed="false">
      <c r="A24" s="2" t="s">
        <v>76</v>
      </c>
    </row>
  </sheetData>
  <mergeCells count="12"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3" customFormat="false" ht="15" hidden="false" customHeight="false" outlineLevel="0" collapsed="false">
      <c r="A3" s="3" t="s">
        <v>2</v>
      </c>
      <c r="B3" s="3" t="s">
        <v>79</v>
      </c>
      <c r="C3" s="3" t="s">
        <v>4</v>
      </c>
      <c r="D3" s="3" t="s">
        <v>9</v>
      </c>
    </row>
    <row r="4" customFormat="false" ht="15" hidden="false" customHeight="false" outlineLevel="0" collapsed="false">
      <c r="A4" s="4" t="s">
        <v>80</v>
      </c>
      <c r="B4" s="6" t="n">
        <v>2.2</v>
      </c>
      <c r="C4" s="16" t="n">
        <v>4</v>
      </c>
      <c r="D4" s="4" t="str">
        <f aca="false">IF(B4&gt;Settings!$B$6,"Yes","No")</f>
        <v>No</v>
      </c>
    </row>
    <row r="5" customFormat="false" ht="15" hidden="false" customHeight="false" outlineLevel="0" collapsed="false">
      <c r="A5" s="4" t="s">
        <v>18</v>
      </c>
      <c r="B5" s="10" t="n">
        <f aca="false">'Behaviour Log'!D5</f>
        <v>3.8</v>
      </c>
      <c r="C5" s="13" t="n">
        <f aca="false">'Behaviour Log'!C5</f>
        <v>2</v>
      </c>
      <c r="D5" s="4" t="str">
        <f aca="false">IF(B5&gt;Settings!$B$6,"Yes","No")</f>
        <v>Yes</v>
      </c>
    </row>
    <row r="6" customFormat="false" ht="15" hidden="false" customHeight="false" outlineLevel="0" collapsed="false">
      <c r="A6" s="4" t="s">
        <v>20</v>
      </c>
      <c r="B6" s="10" t="n">
        <f aca="false">'Behaviour Log'!D6</f>
        <v>4.1</v>
      </c>
      <c r="C6" s="13" t="n">
        <f aca="false">'Behaviour Log'!C6</f>
        <v>2</v>
      </c>
      <c r="D6" s="4" t="str">
        <f aca="false">IF(B6&gt;Settings!$B$6,"Yes","No")</f>
        <v>Yes</v>
      </c>
    </row>
    <row r="7" customFormat="false" ht="15" hidden="false" customHeight="false" outlineLevel="0" collapsed="false">
      <c r="A7" s="4" t="s">
        <v>22</v>
      </c>
      <c r="B7" s="10" t="n">
        <f aca="false">'Behaviour Log'!D7</f>
        <v>2.9</v>
      </c>
      <c r="C7" s="13" t="n">
        <f aca="false">'Behaviour Log'!C7</f>
        <v>3</v>
      </c>
      <c r="D7" s="4" t="str">
        <f aca="false">IF(B7&gt;Settings!$B$6,"Yes","No")</f>
        <v>Yes</v>
      </c>
    </row>
    <row r="8" customFormat="false" ht="15" hidden="false" customHeight="false" outlineLevel="0" collapsed="false">
      <c r="A8" s="4" t="s">
        <v>24</v>
      </c>
      <c r="B8" s="10" t="n">
        <f aca="false">'Behaviour Log'!D8</f>
        <v>3.4</v>
      </c>
      <c r="C8" s="13" t="n">
        <f aca="false">'Behaviour Log'!C8</f>
        <v>2</v>
      </c>
      <c r="D8" s="4" t="str">
        <f aca="false">IF(B8&gt;Settings!$B$6,"Yes","No")</f>
        <v>Yes</v>
      </c>
    </row>
    <row r="9" customFormat="false" ht="15" hidden="false" customHeight="false" outlineLevel="0" collapsed="false">
      <c r="A9" s="4" t="s">
        <v>25</v>
      </c>
      <c r="B9" s="10" t="n">
        <f aca="false">'Behaviour Log'!D9</f>
        <v>2.5</v>
      </c>
      <c r="C9" s="13" t="n">
        <f aca="false">'Behaviour Log'!C9</f>
        <v>4</v>
      </c>
      <c r="D9" s="4" t="str">
        <f aca="false">IF(B9&gt;Settings!$B$6,"Yes","No")</f>
        <v>No</v>
      </c>
    </row>
    <row r="10" customFormat="false" ht="15" hidden="false" customHeight="false" outlineLevel="0" collapsed="false">
      <c r="A10" s="4" t="s">
        <v>26</v>
      </c>
      <c r="B10" s="10" t="n">
        <f aca="false">'Behaviour Log'!D10</f>
        <v>2.66666666666667</v>
      </c>
      <c r="C10" s="13" t="n">
        <f aca="false">'Behaviour Log'!C10</f>
        <v>2</v>
      </c>
      <c r="D10" s="4" t="str">
        <f aca="false">IF(B10&gt;Settings!$B$6,"Yes","No")</f>
        <v>Yes</v>
      </c>
    </row>
    <row r="12" customFormat="false" ht="15" hidden="false" customHeight="false" outlineLevel="0" collapsed="false">
      <c r="A12" s="17" t="s">
        <v>46</v>
      </c>
      <c r="B12" s="10" t="n">
        <f aca="false">AVERAGEIF(B4:B10,"&gt;"&amp;Settings!B6,C4:C10)</f>
        <v>2.2</v>
      </c>
    </row>
    <row r="13" customFormat="false" ht="15" hidden="false" customHeight="false" outlineLevel="0" collapsed="false">
      <c r="A13" s="17" t="s">
        <v>48</v>
      </c>
      <c r="B13" s="10" t="n">
        <f aca="false">AVERAGEIF(B4:B10,"&lt;="&amp;Settings!B6,C4:C10)</f>
        <v>4</v>
      </c>
    </row>
    <row r="14" customFormat="false" ht="15" hidden="false" customHeight="false" outlineLevel="0" collapsed="false">
      <c r="A14" s="17" t="s">
        <v>81</v>
      </c>
      <c r="B14" s="4" t="str">
        <f aca="false">"On days over your 2h 30m goal, your mood averaged "&amp;TEXT(B12,"0.0")&amp;" out of 5. Within your goal, it averaged "&amp;TEXT(B13,"0.0")&amp;"."</f>
        <v>On days over your 2h 30m goal, your mood averaged 2.2 out of 5. Within your goal, it averaged 4.0.</v>
      </c>
      <c r="C14" s="4"/>
      <c r="D14" s="4"/>
    </row>
  </sheetData>
  <mergeCells count="1">
    <mergeCell ref="B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50"/>
    <col collapsed="false" customWidth="true" hidden="false" outlineLevel="0" max="4" min="4" style="0" width="14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1" t="s">
        <v>82</v>
      </c>
    </row>
    <row r="3" customFormat="false" ht="15" hidden="false" customHeight="false" outlineLevel="0" collapsed="false">
      <c r="A3" s="3" t="s">
        <v>83</v>
      </c>
      <c r="B3" s="3" t="s">
        <v>84</v>
      </c>
      <c r="C3" s="3" t="s">
        <v>85</v>
      </c>
      <c r="D3" s="3" t="s">
        <v>86</v>
      </c>
      <c r="E3" s="3" t="s">
        <v>87</v>
      </c>
    </row>
    <row r="4" customFormat="false" ht="15" hidden="false" customHeight="false" outlineLevel="0" collapsed="false">
      <c r="A4" s="18" t="s">
        <v>88</v>
      </c>
      <c r="B4" s="18" t="s">
        <v>89</v>
      </c>
      <c r="C4" s="18" t="s">
        <v>90</v>
      </c>
      <c r="D4" s="18"/>
      <c r="E4" s="18" t="s">
        <v>91</v>
      </c>
    </row>
    <row r="5" customFormat="false" ht="23.85" hidden="false" customHeight="false" outlineLevel="0" collapsed="false">
      <c r="A5" s="18" t="s">
        <v>92</v>
      </c>
      <c r="B5" s="18" t="s">
        <v>93</v>
      </c>
      <c r="C5" s="18" t="s">
        <v>94</v>
      </c>
      <c r="D5" s="18" t="n">
        <v>20</v>
      </c>
      <c r="E5" s="18" t="s">
        <v>95</v>
      </c>
    </row>
    <row r="6" customFormat="false" ht="15" hidden="false" customHeight="false" outlineLevel="0" collapsed="false">
      <c r="A6" s="18" t="s">
        <v>96</v>
      </c>
      <c r="B6" s="18" t="s">
        <v>97</v>
      </c>
      <c r="C6" s="18" t="s">
        <v>98</v>
      </c>
      <c r="D6" s="18" t="n">
        <v>5</v>
      </c>
      <c r="E6" s="18" t="s">
        <v>99</v>
      </c>
    </row>
    <row r="7" customFormat="false" ht="15" hidden="false" customHeight="false" outlineLevel="0" collapsed="false">
      <c r="A7" s="18" t="s">
        <v>100</v>
      </c>
      <c r="B7" s="18" t="s">
        <v>101</v>
      </c>
      <c r="C7" s="18" t="s">
        <v>102</v>
      </c>
      <c r="D7" s="18" t="n">
        <v>10</v>
      </c>
      <c r="E7" s="18" t="s">
        <v>103</v>
      </c>
    </row>
    <row r="8" customFormat="false" ht="23.85" hidden="false" customHeight="false" outlineLevel="0" collapsed="false">
      <c r="A8" s="18" t="s">
        <v>104</v>
      </c>
      <c r="B8" s="18" t="s">
        <v>105</v>
      </c>
      <c r="C8" s="18" t="s">
        <v>106</v>
      </c>
      <c r="D8" s="18"/>
      <c r="E8" s="18" t="s">
        <v>107</v>
      </c>
    </row>
    <row r="9" customFormat="false" ht="15" hidden="false" customHeight="false" outlineLevel="0" collapsed="false">
      <c r="A9" s="18" t="s">
        <v>108</v>
      </c>
      <c r="B9" s="18" t="s">
        <v>109</v>
      </c>
      <c r="C9" s="18" t="s">
        <v>110</v>
      </c>
      <c r="D9" s="18" t="n">
        <v>2</v>
      </c>
      <c r="E9" s="18" t="s">
        <v>111</v>
      </c>
    </row>
    <row r="10" customFormat="false" ht="15" hidden="false" customHeight="false" outlineLevel="0" collapsed="false">
      <c r="A10" s="18" t="s">
        <v>112</v>
      </c>
      <c r="B10" s="18" t="s">
        <v>113</v>
      </c>
      <c r="C10" s="18" t="s">
        <v>114</v>
      </c>
      <c r="D10" s="18"/>
      <c r="E10" s="18" t="s">
        <v>115</v>
      </c>
    </row>
    <row r="12" customFormat="false" ht="15" hidden="false" customHeight="false" outlineLevel="0" collapsed="false">
      <c r="A12" s="2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117</v>
      </c>
    </row>
    <row r="2" customFormat="false" ht="15" hidden="false" customHeight="false" outlineLevel="0" collapsed="false">
      <c r="A2" s="2" t="s">
        <v>118</v>
      </c>
    </row>
    <row r="3" customFormat="false" ht="15" hidden="false" customHeight="false" outlineLevel="0" collapsed="false">
      <c r="A3" s="3" t="s">
        <v>63</v>
      </c>
      <c r="B3" s="3" t="s">
        <v>36</v>
      </c>
      <c r="C3" s="3" t="s">
        <v>119</v>
      </c>
    </row>
    <row r="4" customFormat="false" ht="15" hidden="false" customHeight="false" outlineLevel="0" collapsed="false">
      <c r="A4" s="4" t="s">
        <v>120</v>
      </c>
      <c r="B4" s="5" t="n">
        <v>3</v>
      </c>
      <c r="C4" s="14" t="s">
        <v>121</v>
      </c>
    </row>
    <row r="5" customFormat="false" ht="15" hidden="false" customHeight="false" outlineLevel="0" collapsed="false">
      <c r="A5" s="4" t="s">
        <v>122</v>
      </c>
      <c r="B5" s="5" t="n">
        <v>2</v>
      </c>
      <c r="C5" s="14" t="s">
        <v>123</v>
      </c>
    </row>
    <row r="6" customFormat="false" ht="15" hidden="false" customHeight="false" outlineLevel="0" collapsed="false">
      <c r="A6" s="4" t="s">
        <v>124</v>
      </c>
      <c r="B6" s="5" t="n">
        <v>2.5</v>
      </c>
      <c r="C6" s="14" t="s">
        <v>125</v>
      </c>
    </row>
    <row r="7" customFormat="false" ht="15" hidden="false" customHeight="false" outlineLevel="0" collapsed="false">
      <c r="A7" s="4" t="s">
        <v>126</v>
      </c>
      <c r="B7" s="5" t="n">
        <v>3</v>
      </c>
      <c r="C7" s="14" t="s">
        <v>127</v>
      </c>
    </row>
    <row r="8" customFormat="false" ht="15" hidden="false" customHeight="false" outlineLevel="0" collapsed="false">
      <c r="A8" s="4" t="s">
        <v>128</v>
      </c>
      <c r="B8" s="5" t="n">
        <v>60</v>
      </c>
      <c r="C8" s="14" t="s">
        <v>129</v>
      </c>
    </row>
    <row r="9" customFormat="false" ht="15" hidden="false" customHeight="false" outlineLevel="0" collapsed="false">
      <c r="A9" s="4" t="s">
        <v>130</v>
      </c>
      <c r="B9" s="7" t="n">
        <v>0.9375</v>
      </c>
      <c r="C9" s="14" t="s">
        <v>131</v>
      </c>
    </row>
    <row r="10" customFormat="false" ht="15" hidden="false" customHeight="false" outlineLevel="0" collapsed="false">
      <c r="A10" s="4" t="s">
        <v>132</v>
      </c>
      <c r="B10" s="7" t="n">
        <v>0.833333333333333</v>
      </c>
      <c r="C10" s="14" t="s">
        <v>133</v>
      </c>
    </row>
    <row r="11" customFormat="false" ht="15" hidden="false" customHeight="false" outlineLevel="0" collapsed="false">
      <c r="A11" s="4" t="s">
        <v>134</v>
      </c>
      <c r="B11" s="5" t="n">
        <v>3</v>
      </c>
      <c r="C11" s="14" t="s">
        <v>129</v>
      </c>
    </row>
    <row r="12" customFormat="false" ht="15" hidden="false" customHeight="false" outlineLevel="0" collapsed="false">
      <c r="A12" s="4" t="s">
        <v>135</v>
      </c>
      <c r="B12" s="5" t="s">
        <v>136</v>
      </c>
      <c r="C12" s="14" t="s">
        <v>137</v>
      </c>
    </row>
    <row r="13" customFormat="false" ht="15" hidden="false" customHeight="false" outlineLevel="0" collapsed="false">
      <c r="A13" s="4" t="s">
        <v>138</v>
      </c>
      <c r="B13" s="5" t="n">
        <v>1</v>
      </c>
      <c r="C13" s="14" t="s">
        <v>129</v>
      </c>
    </row>
    <row r="14" customFormat="false" ht="15" hidden="false" customHeight="false" outlineLevel="0" collapsed="false">
      <c r="A14" s="4" t="s">
        <v>139</v>
      </c>
      <c r="B14" s="5" t="n">
        <v>3</v>
      </c>
      <c r="C14" s="14" t="s">
        <v>129</v>
      </c>
    </row>
    <row r="15" customFormat="false" ht="15" hidden="false" customHeight="false" outlineLevel="0" collapsed="false">
      <c r="A15" s="4" t="s">
        <v>140</v>
      </c>
      <c r="B15" s="5" t="n">
        <v>5</v>
      </c>
      <c r="C15" s="14" t="s">
        <v>129</v>
      </c>
    </row>
    <row r="16" customFormat="false" ht="15" hidden="false" customHeight="false" outlineLevel="0" collapsed="false">
      <c r="A16" s="4" t="s">
        <v>141</v>
      </c>
      <c r="B16" s="4" t="n">
        <f aca="false">IF(B12="Low",B13,IF(B12="High",B15,B14))</f>
        <v>3</v>
      </c>
      <c r="C16" s="19" t="s">
        <v>142</v>
      </c>
    </row>
    <row r="17" customFormat="false" ht="15" hidden="false" customHeight="false" outlineLevel="0" collapsed="false">
      <c r="A17" s="4" t="s">
        <v>143</v>
      </c>
      <c r="B17" s="5" t="n">
        <v>2</v>
      </c>
      <c r="C17" s="19" t="s">
        <v>144</v>
      </c>
    </row>
    <row r="18" customFormat="false" ht="15" hidden="false" customHeight="false" outlineLevel="0" collapsed="false">
      <c r="A18" s="4" t="s">
        <v>145</v>
      </c>
      <c r="B18" s="5" t="n">
        <v>15</v>
      </c>
      <c r="C18" s="19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2026-10-15T09:49:33Z</dcterms:created>
  <dc:creator>openpyxl</dc:creator>
  <dc:description/>
  <dc:language>en-US</dc:language>
  <cp:lastModifiedBy/>
  <dcterms:modified xsi:type="dcterms:W3CDTF">2026-10-15T09:50:00Z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